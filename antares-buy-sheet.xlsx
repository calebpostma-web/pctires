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ares Buy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<sst xmlns="http://schemas.openxmlformats.org/spreadsheetml/2006/main" count="81" uniqueCount="59">
  <si>
    <t xml:space="preserve">PC TIRES - ANTARES STARTER INVENTORY BUY SHEET</t>
  </si>
  <si>
    <t xml:space="preserve">Source: TDG Access live pricing via pctires.ca, 2026-06-11. Stock status moves daily - reconfirm at order time.</t>
  </si>
  <si>
    <t xml:space="preserve">#</t>
  </si>
  <si>
    <t xml:space="preserve">Size</t>
  </si>
  <si>
    <t xml:space="preserve">Segment</t>
  </si>
  <si>
    <t xml:space="preserve">Model</t>
  </si>
  <si>
    <t xml:space="preserve">Season</t>
  </si>
  <si>
    <t xml:space="preserve">TDG Stock</t>
  </si>
  <si>
    <t xml:space="preserve">Cost/Tire ($)</t>
  </si>
  <si>
    <t xml:space="preserve">Qty</t>
  </si>
  <si>
    <t xml:space="preserve">Ext. Cost ($)</t>
  </si>
  <si>
    <t xml:space="preserve">Sticker/Tire ($)</t>
  </si>
  <si>
    <t xml:space="preserve">Margin/Tire ($)</t>
  </si>
  <si>
    <t xml:space="preserve">Notes</t>
  </si>
  <si>
    <t xml:space="preserve">225/65R17</t>
  </si>
  <si>
    <t xml:space="preserve">CUV - #1 size</t>
  </si>
  <si>
    <t xml:space="preserve">Polymax 4S</t>
  </si>
  <si>
    <t xml:space="preserve">All Weather</t>
  </si>
  <si>
    <t xml:space="preserve">IN</t>
  </si>
  <si>
    <t xml:space="preserve">RAV4/CR-V/Escape/Equinox. 3PMSF.</t>
  </si>
  <si>
    <t xml:space="preserve">205/55R16</t>
  </si>
  <si>
    <t xml:space="preserve">Car</t>
  </si>
  <si>
    <t xml:space="preserve">Civic/Corolla/Cruze/Jetta/Mazda3. 3PMSF.</t>
  </si>
  <si>
    <t xml:space="preserve">195/65R15</t>
  </si>
  <si>
    <t xml:space="preserve">Car - value</t>
  </si>
  <si>
    <t xml:space="preserve">Ingens A1</t>
  </si>
  <si>
    <t xml:space="preserve">All Season</t>
  </si>
  <si>
    <t xml:space="preserve">Older Corolla/Civic/Matrix. Polymax 4S also IN at $67 if AW preferred.</t>
  </si>
  <si>
    <t xml:space="preserve">215/60R16</t>
  </si>
  <si>
    <t xml:space="preserve">Car - mid-size</t>
  </si>
  <si>
    <t xml:space="preserve">Camry/Accord/Fusion/Altima. Polymax 4S OUT - AS fallback.</t>
  </si>
  <si>
    <t xml:space="preserve">215/55R17</t>
  </si>
  <si>
    <t xml:space="preserve">Car - newer</t>
  </si>
  <si>
    <t xml:space="preserve">Newer Camry/Sonata/Optima. Polymax 4S OUT - AS fallback.</t>
  </si>
  <si>
    <t xml:space="preserve">235/65R17</t>
  </si>
  <si>
    <t xml:space="preserve">CUV</t>
  </si>
  <si>
    <t xml:space="preserve">Newer RAV4/Santa Fe/Sorento. 3PMSF.</t>
  </si>
  <si>
    <t xml:space="preserve">235/60R18</t>
  </si>
  <si>
    <t xml:space="preserve">CUV uplevel</t>
  </si>
  <si>
    <t xml:space="preserve">Majoris R1</t>
  </si>
  <si>
    <t xml:space="preserve">Edge/Santa Fe Sport/Terrain. Polymax 4S OUT - AS fallback.</t>
  </si>
  <si>
    <t xml:space="preserve">265/70R17</t>
  </si>
  <si>
    <t xml:space="preserve">Truck</t>
  </si>
  <si>
    <t xml:space="preserve">Goliath AT</t>
  </si>
  <si>
    <t xml:space="preserve">All Weather AT</t>
  </si>
  <si>
    <t xml:space="preserve">F-150/Silverado/RAM. Budget alt: Majoris R1 $142.61 IN.</t>
  </si>
  <si>
    <t xml:space="preserve">275/65R18</t>
  </si>
  <si>
    <t xml:space="preserve">Truck - newer</t>
  </si>
  <si>
    <t xml:space="preserve">2015+ F-150/Tundra. Budget alt: Majoris R1 $146.38 IN.</t>
  </si>
  <si>
    <t xml:space="preserve">265/65R17</t>
  </si>
  <si>
    <t xml:space="preserve">Mid truck</t>
  </si>
  <si>
    <t xml:space="preserve">Tacoma/4Runner/Ranger. Budget alt: SMT A7 $142.73 IN.</t>
  </si>
  <si>
    <t xml:space="preserve">TOTAL</t>
  </si>
  <si>
    <t xml:space="preserve">HST (13%) on cost:</t>
  </si>
  <si>
    <t xml:space="preserve">Total landed cost incl. HST:</t>
  </si>
  <si>
    <t xml:space="preserve">Sticker value of this stock (sum sticker x qty):</t>
  </si>
  <si>
    <t xml:space="preserve">Install revenue if all 26 sold w/ install (26 x $25):</t>
  </si>
  <si>
    <t xml:space="preserve">Budget truck variant: swap Goliath AT for Majoris R1/SMT A7 highway AS on rows 8-10 - saves ~$377 but loses the AT look the truck crowd wants.</t>
  </si>
  <si>
    <t xml:space="preserve">Stocking logic per size list: all-weather 3PMSF for car/CUV walk-ins year-round; AT for trucks. Pairs minimum; full sets in sizes #1, #8, #9.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</si>
</sst>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5" t="n">
        <v>105</v>
      </c>
      <c r="H5" s="6" t="n">
        <v>4</v>
      </c>
      <c r="I5" s="7" t="n">
        <f aca="false">G5*H5</f>
        <v>420</v>
      </c>
      <c r="J5" s="5" t="n">
        <v>141.75</v>
      </c>
      <c r="K5" s="7" t="n">
        <f aca="false">J5-G5</f>
        <v>36.75</v>
      </c>
      <c r="L5" s="4" t="s">
        <v>19</v>
      </c>
    </row>
    <row r="6" customFormat="false" ht="15" hidden="false" customHeight="false" outlineLevel="0" collapsed="false">
      <c r="A6" s="4" t="n">
        <v>2</v>
      </c>
      <c r="B6" s="4" t="s">
        <v>20</v>
      </c>
      <c r="C6" s="4" t="s">
        <v>21</v>
      </c>
      <c r="D6" s="4" t="s">
        <v>16</v>
      </c>
      <c r="E6" s="4" t="s">
        <v>17</v>
      </c>
      <c r="F6" s="4" t="s">
        <v>18</v>
      </c>
      <c r="G6" s="5" t="n">
        <v>73.5</v>
      </c>
      <c r="H6" s="6" t="n">
        <v>2</v>
      </c>
      <c r="I6" s="7" t="n">
        <f aca="false">G6*H6</f>
        <v>147</v>
      </c>
      <c r="J6" s="5" t="n">
        <v>103.89</v>
      </c>
      <c r="K6" s="7" t="n">
        <f aca="false">J6-G6</f>
        <v>30.39</v>
      </c>
      <c r="L6" s="4" t="s">
        <v>22</v>
      </c>
    </row>
    <row r="7" customFormat="false" ht="15" hidden="false" customHeight="false" outlineLevel="0" collapsed="false">
      <c r="A7" s="4" t="n">
        <v>3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18</v>
      </c>
      <c r="G7" s="5" t="n">
        <v>62.9</v>
      </c>
      <c r="H7" s="6" t="n">
        <v>2</v>
      </c>
      <c r="I7" s="7" t="n">
        <f aca="false">G7*H7</f>
        <v>125.8</v>
      </c>
      <c r="J7" s="5" t="n">
        <v>92.11</v>
      </c>
      <c r="K7" s="7" t="n">
        <f aca="false">J7-G7</f>
        <v>29.21</v>
      </c>
      <c r="L7" s="4" t="s">
        <v>27</v>
      </c>
    </row>
    <row r="8" customFormat="false" ht="15" hidden="false" customHeight="false" outlineLevel="0" collapsed="false">
      <c r="A8" s="4" t="n">
        <v>4</v>
      </c>
      <c r="B8" s="4" t="s">
        <v>28</v>
      </c>
      <c r="C8" s="4" t="s">
        <v>29</v>
      </c>
      <c r="D8" s="4" t="s">
        <v>25</v>
      </c>
      <c r="E8" s="4" t="s">
        <v>26</v>
      </c>
      <c r="F8" s="4" t="s">
        <v>18</v>
      </c>
      <c r="G8" s="5" t="n">
        <v>78.9</v>
      </c>
      <c r="H8" s="6" t="n">
        <v>2</v>
      </c>
      <c r="I8" s="7" t="n">
        <f aca="false">G8*H8</f>
        <v>157.8</v>
      </c>
      <c r="J8" s="5" t="n">
        <v>109.89</v>
      </c>
      <c r="K8" s="7" t="n">
        <f aca="false">J8-G8</f>
        <v>30.99</v>
      </c>
      <c r="L8" s="4" t="s">
        <v>30</v>
      </c>
    </row>
    <row r="9" customFormat="false" ht="15" hidden="false" customHeight="false" outlineLevel="0" collapsed="false">
      <c r="A9" s="4" t="n">
        <v>5</v>
      </c>
      <c r="B9" s="4" t="s">
        <v>31</v>
      </c>
      <c r="C9" s="4" t="s">
        <v>32</v>
      </c>
      <c r="D9" s="4" t="s">
        <v>25</v>
      </c>
      <c r="E9" s="4" t="s">
        <v>26</v>
      </c>
      <c r="F9" s="4" t="s">
        <v>18</v>
      </c>
      <c r="G9" s="5" t="n">
        <v>85.9</v>
      </c>
      <c r="H9" s="6" t="n">
        <v>2</v>
      </c>
      <c r="I9" s="7" t="n">
        <f aca="false">G9*H9</f>
        <v>171.8</v>
      </c>
      <c r="J9" s="5" t="n">
        <v>117.67</v>
      </c>
      <c r="K9" s="7" t="n">
        <f aca="false">J9-G9</f>
        <v>31.77</v>
      </c>
      <c r="L9" s="4" t="s">
        <v>33</v>
      </c>
    </row>
    <row r="10" customFormat="false" ht="15" hidden="false" customHeight="false" outlineLevel="0" collapsed="false">
      <c r="A10" s="4" t="n">
        <v>6</v>
      </c>
      <c r="B10" s="4" t="s">
        <v>34</v>
      </c>
      <c r="C10" s="4" t="s">
        <v>35</v>
      </c>
      <c r="D10" s="4" t="s">
        <v>16</v>
      </c>
      <c r="E10" s="4" t="s">
        <v>17</v>
      </c>
      <c r="F10" s="4" t="s">
        <v>18</v>
      </c>
      <c r="G10" s="5" t="n">
        <v>109</v>
      </c>
      <c r="H10" s="6" t="n">
        <v>2</v>
      </c>
      <c r="I10" s="7" t="n">
        <f aca="false">G10*H10</f>
        <v>218</v>
      </c>
      <c r="J10" s="5" t="n">
        <v>147.15</v>
      </c>
      <c r="K10" s="7" t="n">
        <f aca="false">J10-G10</f>
        <v>38.15</v>
      </c>
      <c r="L10" s="4" t="s">
        <v>36</v>
      </c>
    </row>
    <row r="11" customFormat="false" ht="15" hidden="false" customHeight="false" outlineLevel="0" collapsed="false">
      <c r="A11" s="4" t="n">
        <v>7</v>
      </c>
      <c r="B11" s="4" t="s">
        <v>37</v>
      </c>
      <c r="C11" s="4" t="s">
        <v>38</v>
      </c>
      <c r="D11" s="4" t="s">
        <v>39</v>
      </c>
      <c r="E11" s="4" t="s">
        <v>26</v>
      </c>
      <c r="F11" s="4" t="s">
        <v>18</v>
      </c>
      <c r="G11" s="5" t="n">
        <v>109.5</v>
      </c>
      <c r="H11" s="6" t="n">
        <v>2</v>
      </c>
      <c r="I11" s="7" t="n">
        <f aca="false">G11*H11</f>
        <v>219</v>
      </c>
      <c r="J11" s="5" t="n">
        <v>147.83</v>
      </c>
      <c r="K11" s="7" t="n">
        <f aca="false">J11-G11</f>
        <v>38.33</v>
      </c>
      <c r="L11" s="4" t="s">
        <v>40</v>
      </c>
    </row>
    <row r="12" customFormat="false" ht="15" hidden="false" customHeight="false" outlineLevel="0" collapsed="false">
      <c r="A12" s="4" t="n">
        <v>8</v>
      </c>
      <c r="B12" s="4" t="s">
        <v>41</v>
      </c>
      <c r="C12" s="4" t="s">
        <v>42</v>
      </c>
      <c r="D12" s="4" t="s">
        <v>43</v>
      </c>
      <c r="E12" s="4" t="s">
        <v>44</v>
      </c>
      <c r="F12" s="4" t="s">
        <v>18</v>
      </c>
      <c r="G12" s="5" t="n">
        <v>179</v>
      </c>
      <c r="H12" s="6" t="n">
        <v>4</v>
      </c>
      <c r="I12" s="7" t="n">
        <f aca="false">G12*H12</f>
        <v>716</v>
      </c>
      <c r="J12" s="5" t="n">
        <v>241.65</v>
      </c>
      <c r="K12" s="7" t="n">
        <f aca="false">J12-G12</f>
        <v>62.65</v>
      </c>
      <c r="L12" s="4" t="s">
        <v>45</v>
      </c>
    </row>
    <row r="13" customFormat="false" ht="15" hidden="false" customHeight="false" outlineLevel="0" collapsed="false">
      <c r="A13" s="4" t="n">
        <v>9</v>
      </c>
      <c r="B13" s="4" t="s">
        <v>46</v>
      </c>
      <c r="C13" s="4" t="s">
        <v>47</v>
      </c>
      <c r="D13" s="4" t="s">
        <v>43</v>
      </c>
      <c r="E13" s="4" t="s">
        <v>44</v>
      </c>
      <c r="F13" s="4" t="s">
        <v>18</v>
      </c>
      <c r="G13" s="5" t="n">
        <v>195.51</v>
      </c>
      <c r="H13" s="6" t="n">
        <v>4</v>
      </c>
      <c r="I13" s="7" t="n">
        <f aca="false">G13*H13</f>
        <v>782.04</v>
      </c>
      <c r="J13" s="5" t="n">
        <v>263.94</v>
      </c>
      <c r="K13" s="7" t="n">
        <f aca="false">J13-G13</f>
        <v>68.43</v>
      </c>
      <c r="L13" s="4" t="s">
        <v>48</v>
      </c>
    </row>
    <row r="14" customFormat="false" ht="15" hidden="false" customHeight="false" outlineLevel="0" collapsed="false">
      <c r="A14" s="4" t="n">
        <v>10</v>
      </c>
      <c r="B14" s="4" t="s">
        <v>49</v>
      </c>
      <c r="C14" s="4" t="s">
        <v>50</v>
      </c>
      <c r="D14" s="4" t="s">
        <v>43</v>
      </c>
      <c r="E14" s="4" t="s">
        <v>44</v>
      </c>
      <c r="F14" s="4" t="s">
        <v>18</v>
      </c>
      <c r="G14" s="5" t="n">
        <v>160</v>
      </c>
      <c r="H14" s="6" t="n">
        <v>2</v>
      </c>
      <c r="I14" s="7" t="n">
        <f aca="false">G14*H14</f>
        <v>320</v>
      </c>
      <c r="J14" s="5" t="n">
        <v>216</v>
      </c>
      <c r="K14" s="7" t="n">
        <f aca="false">J14-G14</f>
        <v>56</v>
      </c>
      <c r="L14" s="4" t="s">
        <v>51</v>
      </c>
    </row>
    <row r="15" customFormat="false" ht="15" hidden="false" customHeight="false" outlineLevel="0" collapsed="false">
      <c r="F15" s="8" t="s">
        <v>52</v>
      </c>
      <c r="H15" s="8" t="n">
        <f aca="false">SUM(H5:H14)</f>
        <v>26</v>
      </c>
      <c r="I15" s="9" t="n">
        <f aca="false">SUM(I5:I14)</f>
        <v>3277.44</v>
      </c>
    </row>
    <row r="17" customFormat="false" ht="15" hidden="false" customHeight="false" outlineLevel="0" collapsed="false">
      <c r="B17" s="10" t="s">
        <v>53</v>
      </c>
      <c r="I17" s="11" t="n">
        <f aca="false">I15*0.13</f>
        <v>426.0672</v>
      </c>
    </row>
    <row r="18" customFormat="false" ht="15" hidden="false" customHeight="false" outlineLevel="0" collapsed="false">
      <c r="B18" s="8" t="s">
        <v>54</v>
      </c>
      <c r="I18" s="9" t="n">
        <f aca="false">I15*1.13</f>
        <v>3703.5072</v>
      </c>
    </row>
    <row r="19" customFormat="false" ht="15" hidden="false" customHeight="false" outlineLevel="0" collapsed="false">
      <c r="B19" s="10" t="s">
        <v>55</v>
      </c>
      <c r="I19" s="11" t="n">
        <f aca="false">SUMPRODUCT(J5:J14,H5:H14)</f>
        <v>4458.44</v>
      </c>
    </row>
    <row r="20" customFormat="false" ht="15" hidden="false" customHeight="false" outlineLevel="0" collapsed="false">
      <c r="B20" s="10" t="s">
        <v>56</v>
      </c>
      <c r="I20" s="11" t="n">
        <f aca="false">SUM(H5:H14)*25</f>
        <v>650</v>
      </c>
    </row>
    <row r="22" customFormat="false" ht="15" hidden="false" customHeight="false" outlineLevel="0" collapsed="false">
      <c r="B22" s="12" t="s">
        <v>57</v>
      </c>
    </row>
    <row r="23" customFormat="false" ht="15" hidden="false" customHeight="false" outlineLevel="0" collapsed="false">
      <c r="B23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2026-06-11T20:38:25Z</dcterms:created>
  <dc:creator>openpyxl</dc:creator>
  <dc:description/>
  <dc:language>en-US</dc:language>
  <cp:lastModifiedBy/>
  <dcterms:modified xsi:type="dcterms:W3CDTF">2026-06-11T20:38:25Z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